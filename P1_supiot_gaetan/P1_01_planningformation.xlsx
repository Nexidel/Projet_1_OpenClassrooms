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e de Standard Study Schedul" sheetId="1" r:id="rId4"/>
  </sheets>
  <definedNames/>
  <calcPr/>
  <extLst>
    <ext uri="GoogleSheetsCustomDataVersion1">
      <go:sheetsCustomData xmlns:go="http://customooxmlschemas.google.com/" r:id="rId5" roundtripDataSignature="AMtx7mg8F1zBJp73cqMnWiCjkCHLXC31XA=="/>
    </ext>
  </extLst>
</workbook>
</file>

<file path=xl/sharedStrings.xml><?xml version="1.0" encoding="utf-8"?>
<sst xmlns="http://schemas.openxmlformats.org/spreadsheetml/2006/main" count="29" uniqueCount="28">
  <si>
    <t>-</t>
  </si>
  <si>
    <t>OPENCLASSROOMS</t>
  </si>
  <si>
    <t>Français</t>
  </si>
  <si>
    <t>60 - Développeur d'application - Frontend</t>
  </si>
  <si>
    <t>Format "Path id - Path name"</t>
  </si>
  <si>
    <t>2.</t>
  </si>
  <si>
    <t>Format DD/MM/YYYY</t>
  </si>
  <si>
    <t>3.</t>
  </si>
  <si>
    <t>Clef</t>
  </si>
  <si>
    <t>Durée (j)</t>
  </si>
  <si>
    <t>% projet restant</t>
  </si>
  <si>
    <t>Date de Soutenance (Théorique)</t>
  </si>
  <si>
    <t>Prenez en main votre formation front-end</t>
  </si>
  <si>
    <t>Transformez une maquette en site web</t>
  </si>
  <si>
    <t>Dynamisez une page web avec des animations CSS</t>
  </si>
  <si>
    <t>Créez une landing page avec JavaScript</t>
  </si>
  <si>
    <t>Testez vos compétences : les langages du Web</t>
  </si>
  <si>
    <t>Créez un site accessible pour une plateforme de photographe</t>
  </si>
  <si>
    <t>Développez un algorithme de recherche JavaScript</t>
  </si>
  <si>
    <t>Testez vos compétences : les algorithmes en JavaScript</t>
  </si>
  <si>
    <t>Débuggez et testez un SaaS RH</t>
  </si>
  <si>
    <t>Définissez les besoins pour une app de soutien scolaire</t>
  </si>
  <si>
    <t>Développez une application Web avec React et React Router</t>
  </si>
  <si>
    <t>Développez un tableau de bord d'analytics avec React</t>
  </si>
  <si>
    <t>Utilisez une API pour un compte utilisateur bancaire avec React</t>
  </si>
  <si>
    <t>Faites passer une librairie JQuery vers React</t>
  </si>
  <si>
    <t>TOTAL (h)</t>
  </si>
  <si>
    <t>Nb projets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</si>
</sst>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&quot;-&quot;mmm&quot;-&quot;yyyy"/>
    <numFmt numFmtId="166" formatCode="d/m/yyyy"/>
    <numFmt numFmtId="167" formatCode="dd/mm/yy"/>
    <numFmt numFmtId="168" formatCode="0.0"/>
  </numFmts>
  <fonts count="33">
    <font>
      <sz val="10.0"/>
      <color rgb="FF000000"/>
      <name val="Arial"/>
    </font>
    <font>
      <color theme="1"/>
      <name val="Montserrat"/>
    </font>
    <font>
      <color rgb="FF9900FF"/>
      <name val="Montserrat"/>
    </font>
    <font>
      <b/>
      <sz val="36.0"/>
      <color rgb="FF9900FF"/>
      <name val="Montserrat"/>
    </font>
    <font>
      <color rgb="FFFFFFFF"/>
      <name val="Montserrat"/>
    </font>
    <font>
      <b/>
      <sz val="36.0"/>
      <color rgb="FFFFFFFF"/>
      <name val="Montserrat"/>
    </font>
    <font>
      <b/>
      <i/>
      <sz val="18.0"/>
      <color rgb="FFFFFFFF"/>
      <name val="Montserrat"/>
    </font>
    <font>
      <b/>
      <sz val="16.0"/>
      <color rgb="FF351C75"/>
      <name val="Montserrat"/>
    </font>
    <font>
      <b/>
      <i/>
      <sz val="12.0"/>
      <color rgb="FFFFFFFF"/>
      <name val="Montserrat"/>
    </font>
    <font>
      <b/>
      <i/>
      <sz val="13.0"/>
      <color rgb="FF434343"/>
      <name val="Montserrat"/>
    </font>
    <font>
      <b/>
      <color rgb="FFFFFFFF"/>
      <name val="Montserrat"/>
    </font>
    <font>
      <b/>
      <color rgb="FFFF0000"/>
      <name val="Montserrat"/>
    </font>
    <font>
      <b/>
      <i/>
      <sz val="15.0"/>
      <color rgb="FFFF0000"/>
      <name val="Montserrat"/>
    </font>
    <font>
      <b/>
      <i/>
      <sz val="13.0"/>
      <color rgb="FF38761D"/>
      <name val="Montserrat"/>
    </font>
    <font>
      <b/>
      <i/>
      <sz val="11.0"/>
      <color rgb="FFFFFFFF"/>
      <name val="Montserrat"/>
    </font>
    <font/>
    <font>
      <sz val="12.0"/>
      <color rgb="FFFFFFFF"/>
      <name val="Montserrat"/>
    </font>
    <font>
      <b/>
      <sz val="8.0"/>
      <color rgb="FF000000"/>
      <name val="Montserrat"/>
    </font>
    <font>
      <b/>
      <sz val="12.0"/>
      <color rgb="FFFFFFFF"/>
      <name val="Montserrat"/>
    </font>
    <font>
      <b/>
      <sz val="11.0"/>
      <color rgb="FFFFFFFF"/>
      <name val="Montserrat"/>
    </font>
    <font>
      <sz val="8.0"/>
      <color rgb="FF000000"/>
      <name val="Montserrat"/>
    </font>
    <font>
      <b/>
      <i/>
      <sz val="11.0"/>
      <color theme="1"/>
      <name val="Montserrat"/>
    </font>
    <font>
      <sz val="11.0"/>
      <color rgb="FF000000"/>
      <name val="Montserrat"/>
    </font>
    <font>
      <i/>
      <sz val="11.0"/>
      <color theme="1"/>
      <name val="Montserrat"/>
    </font>
    <font>
      <b/>
      <i/>
      <sz val="11.0"/>
      <color rgb="FF000000"/>
      <name val="Montserrat"/>
    </font>
    <font>
      <b/>
      <i/>
      <sz val="12.0"/>
      <color rgb="FF38761D"/>
      <name val="Montserrat"/>
    </font>
    <font>
      <b/>
      <i/>
      <sz val="12.0"/>
      <color rgb="FF000000"/>
      <name val="Montserrat"/>
    </font>
    <font>
      <b/>
      <color theme="1"/>
      <name val="Arial"/>
    </font>
    <font>
      <b/>
      <sz val="12.0"/>
      <color rgb="FF38761D"/>
      <name val="Arial"/>
    </font>
    <font>
      <b/>
      <color theme="1"/>
      <name val="Montserrat"/>
    </font>
    <font>
      <b/>
      <sz val="13.0"/>
      <color rgb="FFFFFFFF"/>
      <name val="Montserrat"/>
    </font>
    <font>
      <b/>
      <sz val="12.0"/>
      <color theme="1"/>
      <name val="Montserrat"/>
    </font>
    <font>
      <b/>
      <sz val="12.0"/>
      <color rgb="FFFF0000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</fills>
  <borders count="22">
    <border/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ck">
        <color rgb="FFFF0000"/>
      </left>
      <top style="thick">
        <color rgb="FFFF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ck">
        <color rgb="FFFF0000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ck">
        <color rgb="FFFF0000"/>
      </top>
    </border>
    <border>
      <left style="thin">
        <color rgb="FFFFFFFF"/>
      </left>
      <top style="thick">
        <color rgb="FFFF0000"/>
      </top>
    </border>
    <border>
      <left style="thin">
        <color rgb="FFFFFFFF"/>
      </left>
      <right style="thick">
        <color rgb="FFFF0000"/>
      </right>
      <top style="thick">
        <color rgb="FFFF0000"/>
      </top>
    </border>
    <border>
      <left style="thick">
        <color rgb="FFFF0000"/>
      </left>
      <top style="thin">
        <color rgb="FFFFFFFF"/>
      </top>
      <bottom style="thin">
        <color rgb="FFFFFFFF"/>
      </bottom>
    </border>
    <border>
      <bottom style="hair">
        <color rgb="FF999999"/>
      </bottom>
    </border>
    <border>
      <right style="thick">
        <color rgb="FFFF0000"/>
      </right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thick">
        <color rgb="FFFF0000"/>
      </right>
      <top style="hair">
        <color rgb="FF999999"/>
      </top>
      <bottom style="hair">
        <color rgb="FF999999"/>
      </bottom>
    </border>
    <border>
      <top style="hair">
        <color rgb="FF999999"/>
      </top>
    </border>
    <border>
      <right style="thick">
        <color rgb="FFFF0000"/>
      </right>
      <top style="hair">
        <color rgb="FF999999"/>
      </top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2" fontId="3" numFmtId="0" xfId="0" applyAlignment="1" applyFont="1">
      <alignment vertical="center"/>
    </xf>
    <xf borderId="0" fillId="3" fontId="4" numFmtId="0" xfId="0" applyAlignment="1" applyFill="1" applyFont="1">
      <alignment vertical="center"/>
    </xf>
    <xf borderId="0" fillId="4" fontId="4" numFmtId="0" xfId="0" applyAlignment="1" applyFill="1" applyFont="1">
      <alignment vertical="center"/>
    </xf>
    <xf borderId="0" fillId="4" fontId="5" numFmtId="0" xfId="0" applyAlignment="1" applyFont="1">
      <alignment vertical="center"/>
    </xf>
    <xf borderId="0" fillId="4" fontId="6" numFmtId="0" xfId="0" applyAlignment="1" applyFont="1">
      <alignment vertical="center"/>
    </xf>
    <xf borderId="0" fillId="2" fontId="7" numFmtId="0" xfId="0" applyAlignment="1" applyFont="1">
      <alignment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vertical="center"/>
    </xf>
    <xf borderId="0" fillId="2" fontId="10" numFmtId="0" xfId="0" applyAlignment="1" applyFont="1">
      <alignment vertical="center"/>
    </xf>
    <xf borderId="2" fillId="0" fontId="11" numFmtId="0" xfId="0" applyAlignment="1" applyBorder="1" applyFont="1">
      <alignment vertical="center"/>
    </xf>
    <xf borderId="3" fillId="4" fontId="12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2" fillId="6" fontId="13" numFmtId="0" xfId="0" applyAlignment="1" applyBorder="1" applyFill="1" applyFont="1">
      <alignment horizontal="center" vertical="center"/>
    </xf>
    <xf borderId="0" fillId="2" fontId="14" numFmtId="0" xfId="0" applyAlignment="1" applyFont="1">
      <alignment vertical="center"/>
    </xf>
    <xf borderId="2" fillId="6" fontId="13" numFmtId="164" xfId="0" applyAlignment="1" applyBorder="1" applyFont="1" applyNumberFormat="1">
      <alignment horizontal="center" vertical="center"/>
    </xf>
    <xf borderId="0" fillId="4" fontId="12" numFmtId="0" xfId="0" applyAlignment="1" applyFont="1">
      <alignment horizontal="center" vertical="center"/>
    </xf>
    <xf borderId="0" fillId="4" fontId="8" numFmtId="0" xfId="0" applyAlignment="1" applyFont="1">
      <alignment shrinkToFit="0" vertical="center" wrapText="1"/>
    </xf>
    <xf borderId="3" fillId="0" fontId="11" numFmtId="0" xfId="0" applyAlignment="1" applyBorder="1" applyFont="1">
      <alignment shrinkToFit="0" vertical="center" wrapText="1"/>
    </xf>
    <xf borderId="1" fillId="0" fontId="15" numFmtId="0" xfId="0" applyBorder="1" applyFont="1"/>
    <xf borderId="2" fillId="0" fontId="11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vertical="center"/>
    </xf>
    <xf borderId="5" fillId="0" fontId="15" numFmtId="0" xfId="0" applyBorder="1" applyFont="1"/>
    <xf borderId="5" fillId="4" fontId="8" numFmtId="0" xfId="0" applyAlignment="1" applyBorder="1" applyFont="1">
      <alignment vertical="center"/>
    </xf>
    <xf borderId="6" fillId="2" fontId="16" numFmtId="0" xfId="0" applyAlignment="1" applyBorder="1" applyFont="1">
      <alignment vertical="center"/>
    </xf>
    <xf borderId="0" fillId="2" fontId="17" numFmtId="0" xfId="0" applyAlignment="1" applyFont="1">
      <alignment horizontal="center" vertical="center"/>
    </xf>
    <xf borderId="7" fillId="3" fontId="18" numFmtId="0" xfId="0" applyAlignment="1" applyBorder="1" applyFont="1">
      <alignment horizontal="center" vertical="center"/>
    </xf>
    <xf borderId="8" fillId="3" fontId="18" numFmtId="0" xfId="0" applyAlignment="1" applyBorder="1" applyFont="1">
      <alignment horizontal="center" vertical="center"/>
    </xf>
    <xf borderId="9" fillId="3" fontId="18" numFmtId="0" xfId="0" applyAlignment="1" applyBorder="1" applyFont="1">
      <alignment horizontal="center" vertical="center"/>
    </xf>
    <xf borderId="9" fillId="3" fontId="19" numFmtId="0" xfId="0" applyAlignment="1" applyBorder="1" applyFont="1">
      <alignment horizontal="center" shrinkToFit="0" vertical="center" wrapText="1"/>
    </xf>
    <xf borderId="10" fillId="3" fontId="19" numFmtId="0" xfId="0" applyAlignment="1" applyBorder="1" applyFont="1">
      <alignment horizontal="center" shrinkToFit="0" vertical="center" wrapText="1"/>
    </xf>
    <xf borderId="11" fillId="3" fontId="19" numFmtId="0" xfId="0" applyAlignment="1" applyBorder="1" applyFont="1">
      <alignment horizontal="center" shrinkToFit="0" vertical="center" wrapText="1"/>
    </xf>
    <xf borderId="11" fillId="3" fontId="19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vertical="center"/>
    </xf>
    <xf borderId="0" fillId="2" fontId="18" numFmtId="0" xfId="0" applyAlignment="1" applyFont="1">
      <alignment horizontal="center" shrinkToFit="0" vertical="center" wrapText="1"/>
    </xf>
    <xf borderId="0" fillId="2" fontId="20" numFmtId="1" xfId="0" applyAlignment="1" applyFont="1" applyNumberFormat="1">
      <alignment horizontal="center" shrinkToFit="0" vertical="center" wrapText="1"/>
    </xf>
    <xf borderId="12" fillId="7" fontId="18" numFmtId="0" xfId="0" applyAlignment="1" applyBorder="1" applyFill="1" applyFont="1">
      <alignment horizontal="center" vertical="center"/>
    </xf>
    <xf borderId="13" fillId="0" fontId="21" numFmtId="0" xfId="0" applyAlignment="1" applyBorder="1" applyFont="1">
      <alignment vertical="center"/>
    </xf>
    <xf borderId="13" fillId="2" fontId="22" numFmtId="1" xfId="0" applyAlignment="1" applyBorder="1" applyFont="1" applyNumberFormat="1">
      <alignment horizontal="center" shrinkToFit="0" vertical="center" wrapText="1"/>
    </xf>
    <xf borderId="13" fillId="2" fontId="23" numFmtId="165" xfId="0" applyAlignment="1" applyBorder="1" applyFont="1" applyNumberFormat="1">
      <alignment horizontal="center" vertical="center"/>
    </xf>
    <xf borderId="13" fillId="2" fontId="21" numFmtId="165" xfId="0" applyAlignment="1" applyBorder="1" applyFont="1" applyNumberFormat="1">
      <alignment horizontal="center" vertical="center"/>
    </xf>
    <xf borderId="14" fillId="2" fontId="24" numFmtId="9" xfId="0" applyAlignment="1" applyBorder="1" applyFont="1" applyNumberFormat="1">
      <alignment horizontal="center" vertical="center"/>
    </xf>
    <xf borderId="14" fillId="2" fontId="24" numFmtId="164" xfId="0" applyAlignment="1" applyBorder="1" applyFont="1" applyNumberFormat="1">
      <alignment horizontal="center" readingOrder="0" vertical="center"/>
    </xf>
    <xf borderId="0" fillId="2" fontId="25" numFmtId="9" xfId="0" applyAlignment="1" applyFont="1" applyNumberFormat="1">
      <alignment horizontal="center" readingOrder="0" vertical="center"/>
    </xf>
    <xf borderId="0" fillId="2" fontId="26" numFmtId="165" xfId="0" applyAlignment="1" applyFont="1" applyNumberFormat="1">
      <alignment horizontal="center" vertical="center"/>
    </xf>
    <xf borderId="15" fillId="0" fontId="21" numFmtId="0" xfId="0" applyAlignment="1" applyBorder="1" applyFont="1">
      <alignment vertical="center"/>
    </xf>
    <xf borderId="15" fillId="2" fontId="22" numFmtId="1" xfId="0" applyAlignment="1" applyBorder="1" applyFont="1" applyNumberFormat="1">
      <alignment horizontal="center" shrinkToFit="0" vertical="center" wrapText="1"/>
    </xf>
    <xf borderId="15" fillId="2" fontId="23" numFmtId="165" xfId="0" applyAlignment="1" applyBorder="1" applyFont="1" applyNumberFormat="1">
      <alignment horizontal="center" vertical="center"/>
    </xf>
    <xf borderId="15" fillId="2" fontId="21" numFmtId="165" xfId="0" applyAlignment="1" applyBorder="1" applyFont="1" applyNumberFormat="1">
      <alignment horizontal="center" vertical="center"/>
    </xf>
    <xf borderId="16" fillId="2" fontId="24" numFmtId="9" xfId="0" applyAlignment="1" applyBorder="1" applyFont="1" applyNumberFormat="1">
      <alignment horizontal="center" vertical="center"/>
    </xf>
    <xf borderId="14" fillId="2" fontId="24" numFmtId="166" xfId="0" applyAlignment="1" applyBorder="1" applyFont="1" applyNumberFormat="1">
      <alignment horizontal="center" readingOrder="0" vertical="center"/>
    </xf>
    <xf borderId="0" fillId="2" fontId="25" numFmtId="9" xfId="0" applyAlignment="1" applyFont="1" applyNumberFormat="1">
      <alignment horizontal="center" vertical="center"/>
    </xf>
    <xf borderId="0" fillId="2" fontId="1" numFmtId="2" xfId="0" applyAlignment="1" applyFont="1" applyNumberFormat="1">
      <alignment vertical="center"/>
    </xf>
    <xf borderId="14" fillId="2" fontId="24" numFmtId="167" xfId="0" applyAlignment="1" applyBorder="1" applyFont="1" applyNumberFormat="1">
      <alignment horizontal="center" readingOrder="0" vertical="center"/>
    </xf>
    <xf borderId="16" fillId="2" fontId="21" numFmtId="9" xfId="0" applyAlignment="1" applyBorder="1" applyFont="1" applyNumberFormat="1">
      <alignment horizontal="center" vertical="center"/>
    </xf>
    <xf borderId="17" fillId="0" fontId="21" numFmtId="0" xfId="0" applyAlignment="1" applyBorder="1" applyFont="1">
      <alignment vertical="center"/>
    </xf>
    <xf borderId="17" fillId="2" fontId="22" numFmtId="1" xfId="0" applyAlignment="1" applyBorder="1" applyFont="1" applyNumberFormat="1">
      <alignment horizontal="center" shrinkToFit="0" vertical="center" wrapText="1"/>
    </xf>
    <xf borderId="17" fillId="2" fontId="23" numFmtId="165" xfId="0" applyAlignment="1" applyBorder="1" applyFont="1" applyNumberFormat="1">
      <alignment horizontal="center" vertical="center"/>
    </xf>
    <xf borderId="17" fillId="2" fontId="21" numFmtId="165" xfId="0" applyAlignment="1" applyBorder="1" applyFont="1" applyNumberFormat="1">
      <alignment horizontal="center" vertical="center"/>
    </xf>
    <xf borderId="18" fillId="5" fontId="27" numFmtId="9" xfId="0" applyAlignment="1" applyBorder="1" applyFont="1" applyNumberFormat="1">
      <alignment vertical="center"/>
    </xf>
    <xf borderId="0" fillId="2" fontId="28" numFmtId="9" xfId="0" applyAlignment="1" applyFont="1" applyNumberFormat="1">
      <alignment vertical="center"/>
    </xf>
    <xf borderId="0" fillId="2" fontId="17" numFmtId="3" xfId="0" applyAlignment="1" applyFont="1" applyNumberFormat="1">
      <alignment horizontal="center" vertical="center"/>
    </xf>
    <xf borderId="19" fillId="2" fontId="29" numFmtId="0" xfId="0" applyAlignment="1" applyBorder="1" applyFont="1">
      <alignment vertical="center"/>
    </xf>
    <xf borderId="20" fillId="3" fontId="30" numFmtId="0" xfId="0" applyAlignment="1" applyBorder="1" applyFont="1">
      <alignment horizontal="right" vertical="center"/>
    </xf>
    <xf borderId="20" fillId="8" fontId="31" numFmtId="1" xfId="0" applyAlignment="1" applyBorder="1" applyFill="1" applyFont="1" applyNumberFormat="1">
      <alignment horizontal="center" vertical="center"/>
    </xf>
    <xf borderId="20" fillId="3" fontId="8" numFmtId="0" xfId="0" applyAlignment="1" applyBorder="1" applyFont="1">
      <alignment horizontal="left" vertical="center"/>
    </xf>
    <xf borderId="21" fillId="3" fontId="8" numFmtId="0" xfId="0" applyAlignment="1" applyBorder="1" applyFont="1">
      <alignment horizontal="right" vertical="center"/>
    </xf>
    <xf borderId="0" fillId="2" fontId="31" numFmtId="1" xfId="0" applyAlignment="1" applyFont="1" applyNumberFormat="1">
      <alignment horizontal="center" vertical="center"/>
    </xf>
    <xf borderId="0" fillId="2" fontId="32" numFmtId="0" xfId="0" applyAlignment="1" applyFont="1">
      <alignment vertical="center"/>
    </xf>
    <xf borderId="0" fillId="2" fontId="1" numFmtId="0" xfId="0" applyAlignment="1" applyFont="1">
      <alignment horizontal="right" vertical="center"/>
    </xf>
    <xf borderId="0" fillId="2" fontId="29" numFmtId="0" xfId="0" applyAlignment="1" applyFont="1">
      <alignment vertical="center"/>
    </xf>
    <xf borderId="0" fillId="2" fontId="1" numFmtId="168" xfId="0" applyAlignment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D9D9D9"/>
          <bgColor rgb="FFD9D9D9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38761D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showGridLines="0" workbookViewId="0"/>
  </sheetViews>
  <sheetFormatPr customHeight="1" defaultColWidth="14.43" defaultRowHeight="15.0" outlineLevelCol="1"/>
  <cols>
    <col customWidth="1" hidden="1" min="1" max="3" width="5.43" outlineLevel="1"/>
    <col collapsed="1" customWidth="1" min="4" max="4" width="5.29"/>
    <col customWidth="1" min="5" max="5" width="39.71"/>
    <col customWidth="1" min="6" max="6" width="96.86"/>
    <col customWidth="1" min="7" max="10" width="18.71"/>
    <col customWidth="1" min="11" max="11" width="18.29"/>
    <col customWidth="1" min="12" max="13" width="21.14"/>
    <col customWidth="1" min="14" max="14" width="1.86"/>
  </cols>
  <sheetData>
    <row r="1" ht="3.75" customHeight="1">
      <c r="A1" s="1"/>
      <c r="B1" s="2"/>
      <c r="C1" s="2"/>
      <c r="D1" s="2" t="s">
        <v>0</v>
      </c>
      <c r="E1" s="3"/>
      <c r="F1" s="2"/>
      <c r="G1" s="2"/>
      <c r="H1" s="2"/>
      <c r="I1" s="2"/>
      <c r="J1" s="2"/>
      <c r="K1" s="2"/>
      <c r="L1" s="2"/>
      <c r="M1" s="2"/>
      <c r="N1" s="2"/>
    </row>
    <row r="2" ht="42.0" customHeight="1">
      <c r="A2" s="1"/>
      <c r="B2" s="4"/>
      <c r="C2" s="4"/>
      <c r="D2" s="5"/>
      <c r="E2" s="6" t="s">
        <v>1</v>
      </c>
      <c r="F2" s="5"/>
      <c r="G2" s="5"/>
      <c r="H2" s="5"/>
      <c r="I2" s="5"/>
      <c r="J2" s="5"/>
      <c r="K2" s="5"/>
      <c r="L2" s="5"/>
      <c r="M2" s="5"/>
      <c r="N2" s="4"/>
    </row>
    <row r="3" ht="32.25" customHeight="1">
      <c r="A3" s="1"/>
      <c r="B3" s="4"/>
      <c r="C3" s="4"/>
      <c r="D3" s="5"/>
      <c r="E3" s="7" t="str">
        <f>IF(J5="Français","VOTRE PLANNING DE FORMATION","YOUR STUDY SCHEDULE AND PROJECTS COMPLETION PLAN")</f>
        <v>VOTRE PLANNING DE FORMATION</v>
      </c>
      <c r="F3" s="5"/>
      <c r="G3" s="5"/>
      <c r="H3" s="5"/>
      <c r="I3" s="5"/>
      <c r="J3" s="5"/>
      <c r="K3" s="5"/>
      <c r="L3" s="5"/>
      <c r="M3" s="5"/>
      <c r="N3" s="4"/>
    </row>
    <row r="4" ht="12.0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69.75" customHeight="1">
      <c r="A5" s="1"/>
      <c r="B5" s="2"/>
      <c r="C5" s="2"/>
      <c r="D5" s="8"/>
      <c r="I5" s="9" t="str">
        <f>IF(J5="Français","Langue:","Language:")</f>
        <v>Langue:</v>
      </c>
      <c r="J5" s="10" t="s">
        <v>2</v>
      </c>
      <c r="K5" s="2"/>
      <c r="N5" s="2"/>
    </row>
    <row r="6" ht="9.0" customHeight="1">
      <c r="A6" s="1"/>
      <c r="B6" s="2"/>
      <c r="C6" s="2"/>
      <c r="D6" s="2"/>
      <c r="E6" s="2"/>
      <c r="F6" s="11"/>
      <c r="G6" s="2"/>
      <c r="H6" s="2"/>
      <c r="I6" s="2"/>
      <c r="J6" s="2"/>
      <c r="K6" s="2"/>
      <c r="L6" s="2"/>
      <c r="M6" s="2"/>
      <c r="N6" s="2"/>
    </row>
    <row r="7" ht="19.5" customHeight="1">
      <c r="A7" s="1"/>
      <c r="B7" s="2"/>
      <c r="C7" s="2"/>
      <c r="E7" s="12"/>
      <c r="G7" s="2"/>
      <c r="K7" s="2"/>
      <c r="L7" s="2"/>
      <c r="M7" s="2"/>
      <c r="N7" s="2"/>
    </row>
    <row r="8" ht="24.75" customHeight="1">
      <c r="A8" s="1"/>
      <c r="B8" s="1"/>
      <c r="C8" s="1"/>
      <c r="D8" s="13">
        <v>1.0</v>
      </c>
      <c r="E8" s="14" t="str">
        <f>IF(J5="Français","Sélectionnez votre parcours:","Select your path")</f>
        <v>Sélectionnez votre parcours:</v>
      </c>
      <c r="F8" s="15" t="s">
        <v>3</v>
      </c>
      <c r="G8" s="16" t="s">
        <v>4</v>
      </c>
      <c r="H8" s="1"/>
      <c r="N8" s="1"/>
    </row>
    <row r="9" ht="24.75" customHeight="1">
      <c r="A9" s="1"/>
      <c r="B9" s="1"/>
      <c r="C9" s="1"/>
      <c r="D9" s="13" t="s">
        <v>5</v>
      </c>
      <c r="E9" s="14" t="str">
        <f>IF(J5="Français","Indiquez le début de formation:","Put your training start date")</f>
        <v>Indiquez le début de formation:</v>
      </c>
      <c r="F9" s="17">
        <v>44448.0</v>
      </c>
      <c r="G9" s="16" t="s">
        <v>6</v>
      </c>
      <c r="H9" s="1"/>
      <c r="N9" s="1"/>
    </row>
    <row r="10" ht="21.75" customHeight="1">
      <c r="A10" s="1"/>
      <c r="B10" s="1"/>
      <c r="C10" s="1"/>
      <c r="D10" s="13" t="s">
        <v>7</v>
      </c>
      <c r="E10" s="14" t="str">
        <f>IF(J5="Français","Indiquez la fin de formation :","Put your training end date")</f>
        <v>Indiquez la fin de formation :</v>
      </c>
      <c r="F10" s="17">
        <v>45177.0</v>
      </c>
      <c r="G10" s="16" t="s">
        <v>6</v>
      </c>
      <c r="H10" s="1"/>
      <c r="M10" s="2"/>
      <c r="N10" s="1"/>
    </row>
    <row r="11" ht="45.75" customHeight="1">
      <c r="A11" s="1"/>
      <c r="B11" s="1"/>
      <c r="C11" s="1"/>
      <c r="D11" s="18"/>
      <c r="E11" s="19"/>
      <c r="G11" s="1"/>
      <c r="H11" s="1"/>
      <c r="I11" s="1"/>
      <c r="K11" s="1"/>
      <c r="L11" s="20"/>
      <c r="M11" s="21"/>
      <c r="N11" s="1"/>
    </row>
    <row r="12" ht="11.25" customHeight="1">
      <c r="A12" s="1"/>
      <c r="B12" s="1"/>
      <c r="C12" s="1"/>
      <c r="D12" s="1"/>
      <c r="E12" s="1"/>
      <c r="F12" s="1"/>
      <c r="G12" s="1"/>
      <c r="H12" s="1"/>
      <c r="I12" s="1"/>
      <c r="K12" s="1"/>
      <c r="L12" s="1"/>
      <c r="M12" s="1"/>
      <c r="N12" s="1"/>
    </row>
    <row r="13" ht="34.5" customHeight="1">
      <c r="A13" s="1"/>
      <c r="B13" s="1"/>
      <c r="C13" s="1"/>
      <c r="D13" s="1"/>
      <c r="E13" s="22"/>
      <c r="F13" s="23" t="str">
        <f>IF(J5="Français","Planning de formation théorique","Theoretical Study Schedule and Progress")</f>
        <v>Planning de formation théorique</v>
      </c>
      <c r="G13" s="24"/>
      <c r="H13" s="24"/>
      <c r="I13" s="25"/>
      <c r="J13" s="25"/>
      <c r="K13" s="25"/>
      <c r="M13" s="26"/>
      <c r="N13" s="1"/>
    </row>
    <row r="14" ht="44.25" customHeight="1">
      <c r="A14" s="1" t="s">
        <v>8</v>
      </c>
      <c r="B14" s="27" t="s">
        <v>9</v>
      </c>
      <c r="C14" s="27" t="s">
        <v>10</v>
      </c>
      <c r="D14" s="1"/>
      <c r="E14" s="28" t="str">
        <f>IF(J5="Français","# Projet","# Project")</f>
        <v># Projet</v>
      </c>
      <c r="F14" s="29" t="str">
        <f>IF(J5="Français","Projet","Project title")</f>
        <v>Projet</v>
      </c>
      <c r="G14" s="30" t="str">
        <f>IF(J5="Français","Durée (h)","Duration (h)")</f>
        <v>Durée (h)</v>
      </c>
      <c r="H14" s="31" t="str">
        <f>IF(J5="Français","Date de démarrage","Project 
start date")</f>
        <v>Date de démarrage</v>
      </c>
      <c r="I14" s="32" t="str">
        <f>IF(J5="Français","Date de completion","Project completion date")</f>
        <v>Date de completion</v>
      </c>
      <c r="J14" s="33" t="str">
        <f>IF(J5="Français","Progression théorique","Where you 
should be today")</f>
        <v>Progression théorique</v>
      </c>
      <c r="K14" s="34" t="s">
        <v>11</v>
      </c>
      <c r="L14" s="35"/>
      <c r="M14" s="36"/>
      <c r="N14" s="1"/>
    </row>
    <row r="15" ht="21.75" customHeight="1">
      <c r="A15" s="2" t="str">
        <f t="shared" ref="A15:A28" si="1">F$8&amp;E15</f>
        <v>60 - Développeur d'application - Frontend1</v>
      </c>
      <c r="B15" s="37">
        <f t="shared" ref="B15:B28" si="2">IF(G15="","",G15/$G$29*$B$29)</f>
        <v>7.673684211</v>
      </c>
      <c r="C15" s="37">
        <f t="shared" ref="C15:C28" si="3">IF(G15="","",1-L15)</f>
        <v>1</v>
      </c>
      <c r="D15" s="1"/>
      <c r="E15" s="38">
        <v>1.0</v>
      </c>
      <c r="F15" s="39" t="s">
        <v>12</v>
      </c>
      <c r="G15" s="40">
        <v>8.0</v>
      </c>
      <c r="H15" s="41">
        <f>F9</f>
        <v>44448</v>
      </c>
      <c r="I15" s="42">
        <f t="shared" ref="I15:I28" si="4">IFERROR(IF(H15="","",B15+H15),"")</f>
        <v>44455.67368</v>
      </c>
      <c r="J15" s="43" t="str">
        <f t="shared" ref="J15:J28" si="5">IFERROR(IF(TODAY()&gt;=I15,"100%",IF(AND(TODAY()&lt;=I15,TODAY()&gt;=H15),(TODAY()-H15)/B15,"")),"")</f>
        <v>100%</v>
      </c>
      <c r="K15" s="44">
        <v>44457.0</v>
      </c>
      <c r="L15" s="45"/>
      <c r="M15" s="46"/>
      <c r="N15" s="1"/>
    </row>
    <row r="16" ht="21.75" customHeight="1">
      <c r="A16" s="2" t="str">
        <f t="shared" si="1"/>
        <v>60 - Développeur d'application - Frontend2</v>
      </c>
      <c r="B16" s="37">
        <f t="shared" si="2"/>
        <v>67.14473684</v>
      </c>
      <c r="C16" s="37">
        <f t="shared" si="3"/>
        <v>1</v>
      </c>
      <c r="D16" s="1"/>
      <c r="E16" s="38">
        <v>2.0</v>
      </c>
      <c r="F16" s="47" t="s">
        <v>13</v>
      </c>
      <c r="G16" s="48">
        <v>70.0</v>
      </c>
      <c r="H16" s="49">
        <f t="shared" ref="H16:H28" si="6">IFERROR(IF(I15=$F$10,"",I15),"")</f>
        <v>44455.67368</v>
      </c>
      <c r="I16" s="50">
        <f t="shared" si="4"/>
        <v>44522.81842</v>
      </c>
      <c r="J16" s="51">
        <f t="shared" si="5"/>
        <v>0.004859886341</v>
      </c>
      <c r="K16" s="52">
        <v>44526.0</v>
      </c>
      <c r="L16" s="53"/>
      <c r="M16" s="46"/>
      <c r="N16" s="1"/>
    </row>
    <row r="17" ht="21.75" customHeight="1">
      <c r="A17" s="2" t="str">
        <f t="shared" si="1"/>
        <v>60 - Développeur d'application - Frontend3</v>
      </c>
      <c r="B17" s="37">
        <f t="shared" si="2"/>
        <v>47.96052632</v>
      </c>
      <c r="C17" s="37">
        <f t="shared" si="3"/>
        <v>1</v>
      </c>
      <c r="D17" s="1"/>
      <c r="E17" s="38">
        <v>3.0</v>
      </c>
      <c r="F17" s="47" t="s">
        <v>14</v>
      </c>
      <c r="G17" s="48">
        <v>50.0</v>
      </c>
      <c r="H17" s="49">
        <f t="shared" si="6"/>
        <v>44522.81842</v>
      </c>
      <c r="I17" s="50">
        <f t="shared" si="4"/>
        <v>44570.77895</v>
      </c>
      <c r="J17" s="51" t="str">
        <f t="shared" si="5"/>
        <v/>
      </c>
      <c r="K17" s="44">
        <v>44575.0</v>
      </c>
      <c r="L17" s="53"/>
      <c r="M17" s="46"/>
      <c r="N17" s="54"/>
    </row>
    <row r="18" ht="21.75" customHeight="1">
      <c r="A18" s="2" t="str">
        <f t="shared" si="1"/>
        <v>60 - Développeur d'application - Frontend4</v>
      </c>
      <c r="B18" s="37">
        <f t="shared" si="2"/>
        <v>28.77631579</v>
      </c>
      <c r="C18" s="37">
        <f t="shared" si="3"/>
        <v>1</v>
      </c>
      <c r="D18" s="1"/>
      <c r="E18" s="38">
        <v>4.0</v>
      </c>
      <c r="F18" s="47" t="s">
        <v>15</v>
      </c>
      <c r="G18" s="48">
        <v>30.0</v>
      </c>
      <c r="H18" s="49">
        <f t="shared" si="6"/>
        <v>44570.77895</v>
      </c>
      <c r="I18" s="50">
        <f t="shared" si="4"/>
        <v>44599.55526</v>
      </c>
      <c r="J18" s="51" t="str">
        <f t="shared" si="5"/>
        <v/>
      </c>
      <c r="K18" s="44">
        <v>44603.0</v>
      </c>
      <c r="L18" s="53"/>
      <c r="M18" s="46"/>
      <c r="N18" s="1"/>
    </row>
    <row r="19" ht="21.75" customHeight="1">
      <c r="A19" s="2" t="str">
        <f t="shared" si="1"/>
        <v>60 - Développeur d'application - Frontend5</v>
      </c>
      <c r="B19" s="37">
        <f t="shared" si="2"/>
        <v>0.9592105263</v>
      </c>
      <c r="C19" s="37">
        <f t="shared" si="3"/>
        <v>1</v>
      </c>
      <c r="D19" s="1"/>
      <c r="E19" s="38">
        <v>5.0</v>
      </c>
      <c r="F19" s="47" t="s">
        <v>16</v>
      </c>
      <c r="G19" s="48">
        <v>1.0</v>
      </c>
      <c r="H19" s="49">
        <f t="shared" si="6"/>
        <v>44599.55526</v>
      </c>
      <c r="I19" s="50">
        <f t="shared" si="4"/>
        <v>44600.51447</v>
      </c>
      <c r="J19" s="51" t="str">
        <f t="shared" si="5"/>
        <v/>
      </c>
      <c r="K19" s="44">
        <v>44603.0</v>
      </c>
      <c r="L19" s="53"/>
      <c r="M19" s="46"/>
      <c r="N19" s="1"/>
    </row>
    <row r="20" ht="21.75" customHeight="1">
      <c r="A20" s="2" t="str">
        <f t="shared" si="1"/>
        <v>60 - Développeur d'application - Frontend6</v>
      </c>
      <c r="B20" s="37">
        <f t="shared" si="2"/>
        <v>67.14473684</v>
      </c>
      <c r="C20" s="37">
        <f t="shared" si="3"/>
        <v>1</v>
      </c>
      <c r="D20" s="1"/>
      <c r="E20" s="38">
        <v>6.0</v>
      </c>
      <c r="F20" s="47" t="s">
        <v>17</v>
      </c>
      <c r="G20" s="48">
        <v>70.0</v>
      </c>
      <c r="H20" s="49">
        <f t="shared" si="6"/>
        <v>44600.51447</v>
      </c>
      <c r="I20" s="50">
        <f t="shared" si="4"/>
        <v>44667.65921</v>
      </c>
      <c r="J20" s="51" t="str">
        <f t="shared" si="5"/>
        <v/>
      </c>
      <c r="K20" s="55">
        <v>44673.0</v>
      </c>
      <c r="L20" s="53"/>
      <c r="M20" s="46"/>
      <c r="N20" s="1"/>
    </row>
    <row r="21" ht="21.75" customHeight="1">
      <c r="A21" s="2" t="str">
        <f t="shared" si="1"/>
        <v>60 - Développeur d'application - Frontend7</v>
      </c>
      <c r="B21" s="37">
        <f t="shared" si="2"/>
        <v>86.32894737</v>
      </c>
      <c r="C21" s="37">
        <f t="shared" si="3"/>
        <v>1</v>
      </c>
      <c r="D21" s="1"/>
      <c r="E21" s="38">
        <v>7.0</v>
      </c>
      <c r="F21" s="47" t="s">
        <v>18</v>
      </c>
      <c r="G21" s="48">
        <v>90.0</v>
      </c>
      <c r="H21" s="49">
        <f t="shared" si="6"/>
        <v>44667.65921</v>
      </c>
      <c r="I21" s="50">
        <f t="shared" si="4"/>
        <v>44753.98816</v>
      </c>
      <c r="J21" s="51" t="str">
        <f t="shared" si="5"/>
        <v/>
      </c>
      <c r="K21" s="44">
        <v>44764.0</v>
      </c>
      <c r="L21" s="53"/>
      <c r="M21" s="46"/>
      <c r="N21" s="1"/>
    </row>
    <row r="22" ht="21.75" customHeight="1">
      <c r="A22" s="2" t="str">
        <f t="shared" si="1"/>
        <v>60 - Développeur d'application - Frontend8</v>
      </c>
      <c r="B22" s="37">
        <f t="shared" si="2"/>
        <v>0.9592105263</v>
      </c>
      <c r="C22" s="37">
        <f t="shared" si="3"/>
        <v>1</v>
      </c>
      <c r="D22" s="1"/>
      <c r="E22" s="38">
        <v>8.0</v>
      </c>
      <c r="F22" s="47" t="s">
        <v>19</v>
      </c>
      <c r="G22" s="48">
        <v>1.0</v>
      </c>
      <c r="H22" s="49">
        <f t="shared" si="6"/>
        <v>44753.98816</v>
      </c>
      <c r="I22" s="50">
        <f t="shared" si="4"/>
        <v>44754.94737</v>
      </c>
      <c r="J22" s="56" t="str">
        <f t="shared" si="5"/>
        <v/>
      </c>
      <c r="K22" s="44">
        <v>44764.0</v>
      </c>
      <c r="L22" s="53"/>
      <c r="M22" s="46"/>
      <c r="N22" s="1"/>
    </row>
    <row r="23" ht="21.75" customHeight="1">
      <c r="A23" s="2" t="str">
        <f t="shared" si="1"/>
        <v>60 - Développeur d'application - Frontend9</v>
      </c>
      <c r="B23" s="37">
        <f t="shared" si="2"/>
        <v>57.55263158</v>
      </c>
      <c r="C23" s="37">
        <f t="shared" si="3"/>
        <v>1</v>
      </c>
      <c r="D23" s="1"/>
      <c r="E23" s="38">
        <v>9.0</v>
      </c>
      <c r="F23" s="47" t="s">
        <v>20</v>
      </c>
      <c r="G23" s="48">
        <v>60.0</v>
      </c>
      <c r="H23" s="49">
        <f t="shared" si="6"/>
        <v>44754.94737</v>
      </c>
      <c r="I23" s="50">
        <f t="shared" si="4"/>
        <v>44812.5</v>
      </c>
      <c r="J23" s="56" t="str">
        <f t="shared" si="5"/>
        <v/>
      </c>
      <c r="K23" s="44">
        <v>44820.0</v>
      </c>
      <c r="L23" s="53"/>
      <c r="M23" s="46"/>
      <c r="N23" s="1"/>
    </row>
    <row r="24" ht="21.75" customHeight="1">
      <c r="A24" s="2" t="str">
        <f t="shared" si="1"/>
        <v>60 - Développeur d'application - Frontend10</v>
      </c>
      <c r="B24" s="37">
        <f t="shared" si="2"/>
        <v>47.96052632</v>
      </c>
      <c r="C24" s="37">
        <f t="shared" si="3"/>
        <v>1</v>
      </c>
      <c r="D24" s="1"/>
      <c r="E24" s="38">
        <v>10.0</v>
      </c>
      <c r="F24" s="47" t="s">
        <v>21</v>
      </c>
      <c r="G24" s="48">
        <v>50.0</v>
      </c>
      <c r="H24" s="49">
        <f t="shared" si="6"/>
        <v>44812.5</v>
      </c>
      <c r="I24" s="50">
        <f t="shared" si="4"/>
        <v>44860.46053</v>
      </c>
      <c r="J24" s="56" t="str">
        <f t="shared" si="5"/>
        <v/>
      </c>
      <c r="K24" s="52">
        <v>44855.0</v>
      </c>
      <c r="L24" s="53"/>
      <c r="M24" s="46"/>
      <c r="N24" s="1"/>
    </row>
    <row r="25" ht="21.75" customHeight="1">
      <c r="A25" s="2" t="str">
        <f t="shared" si="1"/>
        <v>60 - Développeur d'application - Frontend11</v>
      </c>
      <c r="B25" s="37">
        <f t="shared" si="2"/>
        <v>57.55263158</v>
      </c>
      <c r="C25" s="37">
        <f t="shared" si="3"/>
        <v>1</v>
      </c>
      <c r="D25" s="1"/>
      <c r="E25" s="38">
        <v>11.0</v>
      </c>
      <c r="F25" s="47" t="s">
        <v>22</v>
      </c>
      <c r="G25" s="48">
        <v>60.0</v>
      </c>
      <c r="H25" s="49">
        <f t="shared" si="6"/>
        <v>44860.46053</v>
      </c>
      <c r="I25" s="50">
        <f t="shared" si="4"/>
        <v>44918.01316</v>
      </c>
      <c r="J25" s="56" t="str">
        <f t="shared" si="5"/>
        <v/>
      </c>
      <c r="K25" s="44">
        <v>44932.0</v>
      </c>
      <c r="L25" s="53"/>
      <c r="M25" s="46"/>
      <c r="N25" s="1"/>
    </row>
    <row r="26" ht="21.75" customHeight="1">
      <c r="A26" s="2" t="str">
        <f t="shared" si="1"/>
        <v>60 - Développeur d'application - Frontend12</v>
      </c>
      <c r="B26" s="37">
        <f t="shared" si="2"/>
        <v>57.55263158</v>
      </c>
      <c r="C26" s="37">
        <f t="shared" si="3"/>
        <v>1</v>
      </c>
      <c r="D26" s="1"/>
      <c r="E26" s="38">
        <v>12.0</v>
      </c>
      <c r="F26" s="47" t="s">
        <v>23</v>
      </c>
      <c r="G26" s="48">
        <v>60.0</v>
      </c>
      <c r="H26" s="49">
        <f t="shared" si="6"/>
        <v>44918.01316</v>
      </c>
      <c r="I26" s="50">
        <f t="shared" si="4"/>
        <v>44975.56579</v>
      </c>
      <c r="J26" s="56" t="str">
        <f t="shared" si="5"/>
        <v/>
      </c>
      <c r="K26" s="44">
        <v>44988.0</v>
      </c>
      <c r="L26" s="53"/>
      <c r="M26" s="46"/>
      <c r="N26" s="1"/>
    </row>
    <row r="27" ht="21.75" customHeight="1">
      <c r="A27" s="2" t="str">
        <f t="shared" si="1"/>
        <v>60 - Développeur d'application - Frontend13</v>
      </c>
      <c r="B27" s="37">
        <f t="shared" si="2"/>
        <v>95.92105263</v>
      </c>
      <c r="C27" s="37">
        <f t="shared" si="3"/>
        <v>1</v>
      </c>
      <c r="D27" s="1"/>
      <c r="E27" s="38">
        <v>13.0</v>
      </c>
      <c r="F27" s="47" t="s">
        <v>24</v>
      </c>
      <c r="G27" s="48">
        <v>100.0</v>
      </c>
      <c r="H27" s="49">
        <f t="shared" si="6"/>
        <v>44975.56579</v>
      </c>
      <c r="I27" s="50">
        <f t="shared" si="4"/>
        <v>45071.48684</v>
      </c>
      <c r="J27" s="56" t="str">
        <f t="shared" si="5"/>
        <v/>
      </c>
      <c r="K27" s="44">
        <v>45086.0</v>
      </c>
      <c r="L27" s="53"/>
      <c r="M27" s="46"/>
      <c r="N27" s="1"/>
    </row>
    <row r="28" ht="21.75" customHeight="1">
      <c r="A28" s="2" t="str">
        <f t="shared" si="1"/>
        <v>60 - Développeur d'application - Frontend14</v>
      </c>
      <c r="B28" s="37">
        <f t="shared" si="2"/>
        <v>105.5131579</v>
      </c>
      <c r="C28" s="37">
        <f t="shared" si="3"/>
        <v>1</v>
      </c>
      <c r="D28" s="1"/>
      <c r="E28" s="38">
        <v>14.0</v>
      </c>
      <c r="F28" s="57" t="s">
        <v>25</v>
      </c>
      <c r="G28" s="58">
        <v>110.0</v>
      </c>
      <c r="H28" s="59">
        <f t="shared" si="6"/>
        <v>45071.48684</v>
      </c>
      <c r="I28" s="60">
        <f t="shared" si="4"/>
        <v>45177</v>
      </c>
      <c r="J28" s="61" t="str">
        <f t="shared" si="5"/>
        <v/>
      </c>
      <c r="K28" s="44">
        <v>45156.0</v>
      </c>
      <c r="L28" s="62"/>
      <c r="M28" s="46"/>
      <c r="N28" s="1"/>
    </row>
    <row r="29" ht="21.0" customHeight="1">
      <c r="A29" s="1"/>
      <c r="B29" s="63">
        <f>DATEDIF(F9,F10,"d")</f>
        <v>729</v>
      </c>
      <c r="C29" s="63"/>
      <c r="D29" s="1"/>
      <c r="E29" s="64"/>
      <c r="F29" s="65" t="s">
        <v>26</v>
      </c>
      <c r="G29" s="66">
        <f>G28+G27+G26+G25+G24+G23+G22+G21+G20+G19+G18+G17+G16+G15</f>
        <v>760</v>
      </c>
      <c r="H29" s="67"/>
      <c r="I29" s="67"/>
      <c r="J29" s="68"/>
      <c r="K29" s="68"/>
      <c r="L29" s="69"/>
      <c r="M29" s="70"/>
      <c r="N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71"/>
      <c r="K30" s="1"/>
      <c r="L30" s="1"/>
      <c r="M30" s="1"/>
      <c r="N30" s="1"/>
    </row>
    <row r="31" ht="15.75" customHeight="1">
      <c r="A31" s="1"/>
      <c r="B31" s="72" t="s">
        <v>27</v>
      </c>
      <c r="C31" s="7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75" customHeight="1">
      <c r="A32" s="1"/>
      <c r="B32" s="1">
        <f>COUNTIFS(B15:B28,"&gt;0")</f>
        <v>14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>
      <c r="A33" s="1"/>
      <c r="B33" s="1"/>
      <c r="C33" s="1"/>
      <c r="D33" s="1"/>
      <c r="E33" s="1"/>
      <c r="F33" s="1"/>
      <c r="G33" s="73"/>
      <c r="H33" s="1"/>
      <c r="I33" s="1"/>
      <c r="J33" s="1"/>
      <c r="K33" s="1"/>
      <c r="L33" s="1"/>
      <c r="M33" s="1"/>
      <c r="N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5:G5"/>
    <mergeCell ref="E11:F11"/>
    <mergeCell ref="L11:M11"/>
    <mergeCell ref="F13:H13"/>
  </mergeCells>
  <conditionalFormatting sqref="B15:C28 F15:K28">
    <cfRule type="containsBlanks" dxfId="0" priority="1">
      <formula>LEN(TRIM(B15))=0</formula>
    </cfRule>
  </conditionalFormatting>
  <conditionalFormatting sqref="M29">
    <cfRule type="containsText" dxfId="1" priority="2" operator="containsText" text="behind">
      <formula>NOT(ISERROR(SEARCH(("behind"),(M29))))</formula>
    </cfRule>
  </conditionalFormatting>
  <conditionalFormatting sqref="M29">
    <cfRule type="containsText" dxfId="2" priority="3" operator="containsText" text="ahead">
      <formula>NOT(ISERROR(SEARCH(("ahead"),(M29))))</formula>
    </cfRule>
  </conditionalFormatting>
  <conditionalFormatting sqref="M29">
    <cfRule type="containsText" dxfId="1" priority="4" operator="containsText" text="retard">
      <formula>NOT(ISERROR(SEARCH(("retard"),(M29))))</formula>
    </cfRule>
  </conditionalFormatting>
  <conditionalFormatting sqref="M29">
    <cfRule type="containsText" dxfId="2" priority="5" operator="containsText" text="avance">
      <formula>NOT(ISERROR(SEARCH(("avance"),(M29))))</formula>
    </cfRule>
  </conditionalFormatting>
  <dataValidations>
    <dataValidation type="list" allowBlank="1" sqref="F8">
      <formula1>data_validation!$C$2:$C$2000</formula1>
    </dataValidation>
    <dataValidation type="custom" allowBlank="1" showDropDown="1" sqref="F9:F10">
      <formula1>OR(NOT(ISERROR(DATEVALUE(F9))), AND(ISNUMBER(F9), LEFT(CELL("format", F9))="D"))</formula1>
    </dataValidation>
    <dataValidation type="list" allowBlank="1" sqref="J5">
      <formula1>data_validation!$E$2:$E$3</formula1>
    </dataValidation>
  </dataValidations>
  <drawing r:id="rId1"/>
</worksheet>
</file>